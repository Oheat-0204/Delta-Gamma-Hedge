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ra5\Desktop\2025 수업\리스크관리 팀플\"/>
    </mc:Choice>
  </mc:AlternateContent>
  <xr:revisionPtr revIDLastSave="0" documentId="13_ncr:1_{40974FBF-A7AC-4ECD-A144-42CFD5F32A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nL Records" sheetId="1" r:id="rId1"/>
    <sheet name="Summary Sta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1" l="1"/>
  <c r="C32" i="1"/>
  <c r="C9" i="1"/>
  <c r="B30" i="1"/>
  <c r="B31" i="1"/>
  <c r="C30" i="1"/>
  <c r="C8" i="1"/>
  <c r="C7" i="1"/>
  <c r="B32" i="1"/>
</calcChain>
</file>

<file path=xl/sharedStrings.xml><?xml version="1.0" encoding="utf-8"?>
<sst xmlns="http://schemas.openxmlformats.org/spreadsheetml/2006/main" count="50" uniqueCount="48">
  <si>
    <t>Jump Date</t>
  </si>
  <si>
    <t>Delta Hedge PnL</t>
  </si>
  <si>
    <t>Gamma Hedge PnL</t>
  </si>
  <si>
    <t>2022-06-16</t>
  </si>
  <si>
    <t>2022-06-21</t>
  </si>
  <si>
    <t>2022-06-24</t>
  </si>
  <si>
    <t>2022-07-19</t>
  </si>
  <si>
    <t>2022-07-27</t>
  </si>
  <si>
    <t>2022-08-22</t>
  </si>
  <si>
    <t>2022-08-26</t>
  </si>
  <si>
    <t>2022-09-13</t>
  </si>
  <si>
    <t>2022-09-29</t>
  </si>
  <si>
    <t>2022-10-03</t>
  </si>
  <si>
    <t>2022-10-04</t>
  </si>
  <si>
    <t>2022-10-07</t>
  </si>
  <si>
    <t>2022-10-13</t>
  </si>
  <si>
    <t>2022-10-14</t>
  </si>
  <si>
    <t>2022-10-17</t>
  </si>
  <si>
    <t>2022-10-21</t>
  </si>
  <si>
    <t>2022-10-28</t>
  </si>
  <si>
    <t>2022-11-02</t>
  </si>
  <si>
    <t>2022-11-09</t>
  </si>
  <si>
    <t>2022-11-10</t>
  </si>
  <si>
    <t>2022-11-30</t>
  </si>
  <si>
    <t>2022-12-15</t>
  </si>
  <si>
    <t>2023-01-06</t>
  </si>
  <si>
    <t>2024-07-24</t>
  </si>
  <si>
    <t>2024-08-05</t>
  </si>
  <si>
    <t>2024-08-08</t>
  </si>
  <si>
    <t>2024-11-06</t>
  </si>
  <si>
    <t>2024-12-18</t>
  </si>
  <si>
    <t>2025-03-10</t>
  </si>
  <si>
    <t>2025-04-03</t>
  </si>
  <si>
    <t>2025-04-04</t>
  </si>
  <si>
    <t>2025-04-09</t>
  </si>
  <si>
    <t>2025-04-10</t>
  </si>
  <si>
    <t>2025-04-16</t>
  </si>
  <si>
    <t>2025-04-21</t>
  </si>
  <si>
    <t>2025-04-22</t>
  </si>
  <si>
    <t>2025-04-24</t>
  </si>
  <si>
    <t>count</t>
  </si>
  <si>
    <t>Mean</t>
  </si>
  <si>
    <t>Std Dev</t>
  </si>
  <si>
    <t>Min</t>
  </si>
  <si>
    <t>Q1</t>
  </si>
  <si>
    <t>Median</t>
  </si>
  <si>
    <t>Q3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</si>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</sst>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'PnL Records'!$B$1</c:f>
              <c:strCache>
                <c:ptCount val="1"/>
                <c:pt idx="0">
                  <c:v>Delta Hedge PnL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'PnL Records'!$A$2:$A$38</c:f>
              <c:strCache>
                <c:ptCount val="37"/>
                <c:pt idx="0">
                  <c:v>2022-06-16</c:v>
                </c:pt>
                <c:pt idx="1">
                  <c:v>2022-06-21</c:v>
                </c:pt>
                <c:pt idx="2">
                  <c:v>2022-06-24</c:v>
                </c:pt>
                <c:pt idx="3">
                  <c:v>2022-07-19</c:v>
                </c:pt>
                <c:pt idx="4">
                  <c:v>2022-07-27</c:v>
                </c:pt>
                <c:pt idx="5">
                  <c:v>2022-08-22</c:v>
                </c:pt>
                <c:pt idx="6">
                  <c:v>2022-08-26</c:v>
                </c:pt>
                <c:pt idx="7">
                  <c:v>2022-09-13</c:v>
                </c:pt>
                <c:pt idx="8">
                  <c:v>2022-09-29</c:v>
                </c:pt>
                <c:pt idx="9">
                  <c:v>2022-10-03</c:v>
                </c:pt>
                <c:pt idx="10">
                  <c:v>2022-10-04</c:v>
                </c:pt>
                <c:pt idx="11">
                  <c:v>2022-10-07</c:v>
                </c:pt>
                <c:pt idx="12">
                  <c:v>2022-10-13</c:v>
                </c:pt>
                <c:pt idx="13">
                  <c:v>2022-10-14</c:v>
                </c:pt>
                <c:pt idx="14">
                  <c:v>2022-10-17</c:v>
                </c:pt>
                <c:pt idx="15">
                  <c:v>2022-10-21</c:v>
                </c:pt>
                <c:pt idx="16">
                  <c:v>2022-10-28</c:v>
                </c:pt>
                <c:pt idx="17">
                  <c:v>2022-11-02</c:v>
                </c:pt>
                <c:pt idx="18">
                  <c:v>2022-11-09</c:v>
                </c:pt>
                <c:pt idx="19">
                  <c:v>2022-11-10</c:v>
                </c:pt>
                <c:pt idx="20">
                  <c:v>2022-11-30</c:v>
                </c:pt>
                <c:pt idx="21">
                  <c:v>2022-12-15</c:v>
                </c:pt>
                <c:pt idx="22">
                  <c:v>2023-01-06</c:v>
                </c:pt>
                <c:pt idx="23">
                  <c:v>2024-07-24</c:v>
                </c:pt>
                <c:pt idx="24">
                  <c:v>2024-08-05</c:v>
                </c:pt>
                <c:pt idx="25">
                  <c:v>2024-08-08</c:v>
                </c:pt>
                <c:pt idx="26">
                  <c:v>2024-11-06</c:v>
                </c:pt>
                <c:pt idx="27">
                  <c:v>2024-12-18</c:v>
                </c:pt>
                <c:pt idx="28">
                  <c:v>2025-03-10</c:v>
                </c:pt>
                <c:pt idx="29">
                  <c:v>2025-04-03</c:v>
                </c:pt>
                <c:pt idx="30">
                  <c:v>2025-04-04</c:v>
                </c:pt>
                <c:pt idx="31">
                  <c:v>2025-04-09</c:v>
                </c:pt>
                <c:pt idx="32">
                  <c:v>2025-04-10</c:v>
                </c:pt>
                <c:pt idx="33">
                  <c:v>2025-04-16</c:v>
                </c:pt>
                <c:pt idx="34">
                  <c:v>2025-04-21</c:v>
                </c:pt>
                <c:pt idx="35">
                  <c:v>2025-04-22</c:v>
                </c:pt>
                <c:pt idx="36">
                  <c:v>2025-04-24</c:v>
                </c:pt>
              </c:strCache>
            </c:strRef>
          </c:cat>
          <c:val>
            <c:numRef>
              <c:f>'PnL Records'!$B$2:$B$38</c:f>
              <c:numCache>
                <c:formatCode>General</c:formatCode>
                <c:ptCount val="37"/>
                <c:pt idx="0">
                  <c:v>71.600480793230417</c:v>
                </c:pt>
                <c:pt idx="1">
                  <c:v>17.817584975992759</c:v>
                </c:pt>
                <c:pt idx="2">
                  <c:v>5.0756750436157736</c:v>
                </c:pt>
                <c:pt idx="3">
                  <c:v>26.974684957775931</c:v>
                </c:pt>
                <c:pt idx="4">
                  <c:v>6.3786254346568967</c:v>
                </c:pt>
                <c:pt idx="5">
                  <c:v>253.05864543599819</c:v>
                </c:pt>
                <c:pt idx="6">
                  <c:v>256.8231545607714</c:v>
                </c:pt>
                <c:pt idx="7">
                  <c:v>379.67439406315219</c:v>
                </c:pt>
                <c:pt idx="8">
                  <c:v>228.544079657021</c:v>
                </c:pt>
                <c:pt idx="9">
                  <c:v>106.2856083758661</c:v>
                </c:pt>
                <c:pt idx="10">
                  <c:v>140.6819312533498</c:v>
                </c:pt>
                <c:pt idx="11">
                  <c:v>168.64305112508461</c:v>
                </c:pt>
                <c:pt idx="12">
                  <c:v>77.746865853401687</c:v>
                </c:pt>
                <c:pt idx="13">
                  <c:v>-96</c:v>
                </c:pt>
                <c:pt idx="14">
                  <c:v>-44</c:v>
                </c:pt>
                <c:pt idx="15">
                  <c:v>74.390106247669792</c:v>
                </c:pt>
                <c:pt idx="16">
                  <c:v>177.070893227944</c:v>
                </c:pt>
                <c:pt idx="17">
                  <c:v>197.79353280448319</c:v>
                </c:pt>
                <c:pt idx="18">
                  <c:v>155.23371012618369</c:v>
                </c:pt>
                <c:pt idx="19">
                  <c:v>107.5126090960821</c:v>
                </c:pt>
                <c:pt idx="20">
                  <c:v>-41.712621503966147</c:v>
                </c:pt>
                <c:pt idx="21">
                  <c:v>-63.875342876624018</c:v>
                </c:pt>
                <c:pt idx="22">
                  <c:v>-8.0734725760339643</c:v>
                </c:pt>
                <c:pt idx="23">
                  <c:v>54.339895255303418</c:v>
                </c:pt>
                <c:pt idx="24">
                  <c:v>25.366254205533551</c:v>
                </c:pt>
                <c:pt idx="25">
                  <c:v>-3.1378262188791268</c:v>
                </c:pt>
                <c:pt idx="26">
                  <c:v>-83.252758954400633</c:v>
                </c:pt>
                <c:pt idx="27">
                  <c:v>-189.2842991467769</c:v>
                </c:pt>
                <c:pt idx="28">
                  <c:v>1362.4371832742549</c:v>
                </c:pt>
                <c:pt idx="29">
                  <c:v>1057.295935386375</c:v>
                </c:pt>
                <c:pt idx="30">
                  <c:v>980.37341802642504</c:v>
                </c:pt>
                <c:pt idx="31">
                  <c:v>564.8087768694013</c:v>
                </c:pt>
                <c:pt idx="32">
                  <c:v>325.70716178726622</c:v>
                </c:pt>
                <c:pt idx="33">
                  <c:v>119.0122444677818</c:v>
                </c:pt>
                <c:pt idx="34">
                  <c:v>88.659173426676716</c:v>
                </c:pt>
                <c:pt idx="35">
                  <c:v>41.11727262680688</c:v>
                </c:pt>
                <c:pt idx="36">
                  <c:v>-18.24234840885401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F9-4190-A33D-AE7AC7F34EA5}"/>
            </c:ext>
          </c:extLst>
        </c:ser>
        <c:ser>
          <c:idx val="1"/>
          <c:order val="1"/>
          <c:tx>
            <c:strRef>
              <c:f>'PnL Records'!$C$1</c:f>
              <c:strCache>
                <c:ptCount val="1"/>
                <c:pt idx="0">
                  <c:v>Gamma Hedge PnL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'PnL Records'!$A$2:$A$38</c:f>
              <c:strCache>
                <c:ptCount val="37"/>
                <c:pt idx="0">
                  <c:v>2022-06-16</c:v>
                </c:pt>
                <c:pt idx="1">
                  <c:v>2022-06-21</c:v>
                </c:pt>
                <c:pt idx="2">
                  <c:v>2022-06-24</c:v>
                </c:pt>
                <c:pt idx="3">
                  <c:v>2022-07-19</c:v>
                </c:pt>
                <c:pt idx="4">
                  <c:v>2022-07-27</c:v>
                </c:pt>
                <c:pt idx="5">
                  <c:v>2022-08-22</c:v>
                </c:pt>
                <c:pt idx="6">
                  <c:v>2022-08-26</c:v>
                </c:pt>
                <c:pt idx="7">
                  <c:v>2022-09-13</c:v>
                </c:pt>
                <c:pt idx="8">
                  <c:v>2022-09-29</c:v>
                </c:pt>
                <c:pt idx="9">
                  <c:v>2022-10-03</c:v>
                </c:pt>
                <c:pt idx="10">
                  <c:v>2022-10-04</c:v>
                </c:pt>
                <c:pt idx="11">
                  <c:v>2022-10-07</c:v>
                </c:pt>
                <c:pt idx="12">
                  <c:v>2022-10-13</c:v>
                </c:pt>
                <c:pt idx="13">
                  <c:v>2022-10-14</c:v>
                </c:pt>
                <c:pt idx="14">
                  <c:v>2022-10-17</c:v>
                </c:pt>
                <c:pt idx="15">
                  <c:v>2022-10-21</c:v>
                </c:pt>
                <c:pt idx="16">
                  <c:v>2022-10-28</c:v>
                </c:pt>
                <c:pt idx="17">
                  <c:v>2022-11-02</c:v>
                </c:pt>
                <c:pt idx="18">
                  <c:v>2022-11-09</c:v>
                </c:pt>
                <c:pt idx="19">
                  <c:v>2022-11-10</c:v>
                </c:pt>
                <c:pt idx="20">
                  <c:v>2022-11-30</c:v>
                </c:pt>
                <c:pt idx="21">
                  <c:v>2022-12-15</c:v>
                </c:pt>
                <c:pt idx="22">
                  <c:v>2023-01-06</c:v>
                </c:pt>
                <c:pt idx="23">
                  <c:v>2024-07-24</c:v>
                </c:pt>
                <c:pt idx="24">
                  <c:v>2024-08-05</c:v>
                </c:pt>
                <c:pt idx="25">
                  <c:v>2024-08-08</c:v>
                </c:pt>
                <c:pt idx="26">
                  <c:v>2024-11-06</c:v>
                </c:pt>
                <c:pt idx="27">
                  <c:v>2024-12-18</c:v>
                </c:pt>
                <c:pt idx="28">
                  <c:v>2025-03-10</c:v>
                </c:pt>
                <c:pt idx="29">
                  <c:v>2025-04-03</c:v>
                </c:pt>
                <c:pt idx="30">
                  <c:v>2025-04-04</c:v>
                </c:pt>
                <c:pt idx="31">
                  <c:v>2025-04-09</c:v>
                </c:pt>
                <c:pt idx="32">
                  <c:v>2025-04-10</c:v>
                </c:pt>
                <c:pt idx="33">
                  <c:v>2025-04-16</c:v>
                </c:pt>
                <c:pt idx="34">
                  <c:v>2025-04-21</c:v>
                </c:pt>
                <c:pt idx="35">
                  <c:v>2025-04-22</c:v>
                </c:pt>
                <c:pt idx="36">
                  <c:v>2025-04-24</c:v>
                </c:pt>
              </c:strCache>
            </c:strRef>
          </c:cat>
          <c:val>
            <c:numRef>
              <c:f>'PnL Records'!$C$2:$C$38</c:f>
              <c:numCache>
                <c:formatCode>General</c:formatCode>
                <c:ptCount val="37"/>
                <c:pt idx="0">
                  <c:v>-1.3261097776219231</c:v>
                </c:pt>
                <c:pt idx="1">
                  <c:v>-15.577232987962701</c:v>
                </c:pt>
                <c:pt idx="2">
                  <c:v>-14.82211328493838</c:v>
                </c:pt>
                <c:pt idx="3">
                  <c:v>-15.410145561976719</c:v>
                </c:pt>
                <c:pt idx="4">
                  <c:v>-17.545045211469532</c:v>
                </c:pt>
                <c:pt idx="5">
                  <c:v>566.34462576972999</c:v>
                </c:pt>
                <c:pt idx="6">
                  <c:v>726.34359332711995</c:v>
                </c:pt>
                <c:pt idx="7">
                  <c:v>401.36833636440997</c:v>
                </c:pt>
                <c:pt idx="8">
                  <c:v>34.44492667482541</c:v>
                </c:pt>
                <c:pt idx="9">
                  <c:v>-3.8546262534275679</c:v>
                </c:pt>
                <c:pt idx="10">
                  <c:v>9.3593316688264849</c:v>
                </c:pt>
                <c:pt idx="11">
                  <c:v>18.731195301401609</c:v>
                </c:pt>
                <c:pt idx="12">
                  <c:v>-8.8650440767293048</c:v>
                </c:pt>
                <c:pt idx="13">
                  <c:v>-4.7356506650876327</c:v>
                </c:pt>
                <c:pt idx="14">
                  <c:v>-13.68986814540483</c:v>
                </c:pt>
                <c:pt idx="15">
                  <c:v>-11.20866719611797</c:v>
                </c:pt>
                <c:pt idx="16">
                  <c:v>11.59625659640483</c:v>
                </c:pt>
                <c:pt idx="17">
                  <c:v>19.88963905021717</c:v>
                </c:pt>
                <c:pt idx="18">
                  <c:v>5.9914756942299618</c:v>
                </c:pt>
                <c:pt idx="19">
                  <c:v>-5.8144115977479487</c:v>
                </c:pt>
                <c:pt idx="20">
                  <c:v>-1.887177654590005</c:v>
                </c:pt>
                <c:pt idx="21">
                  <c:v>5.3634220670264767</c:v>
                </c:pt>
                <c:pt idx="22">
                  <c:v>-18.669243032871119</c:v>
                </c:pt>
                <c:pt idx="23">
                  <c:v>41.113762712514593</c:v>
                </c:pt>
                <c:pt idx="24">
                  <c:v>-12.800870268605079</c:v>
                </c:pt>
                <c:pt idx="25">
                  <c:v>-25.703313302526681</c:v>
                </c:pt>
                <c:pt idx="26">
                  <c:v>-33.933931246162842</c:v>
                </c:pt>
                <c:pt idx="27">
                  <c:v>-26.00022463218977</c:v>
                </c:pt>
                <c:pt idx="28">
                  <c:v>1368.02361685202</c:v>
                </c:pt>
                <c:pt idx="29">
                  <c:v>886.381822533883</c:v>
                </c:pt>
                <c:pt idx="30">
                  <c:v>393.95512456797701</c:v>
                </c:pt>
                <c:pt idx="31">
                  <c:v>33.03022017169144</c:v>
                </c:pt>
                <c:pt idx="32">
                  <c:v>64.276682052793717</c:v>
                </c:pt>
                <c:pt idx="33">
                  <c:v>4.0042908018093613</c:v>
                </c:pt>
                <c:pt idx="34">
                  <c:v>-11.272494624499929</c:v>
                </c:pt>
                <c:pt idx="35">
                  <c:v>22.229099999999999</c:v>
                </c:pt>
                <c:pt idx="36">
                  <c:v>-8.7614718654120995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F9-4190-A33D-AE7AC7F34E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2390927"/>
        <c:axId val="1152391887"/>
      </c:barChart>
      <c:catAx>
        <c:axId val="1152390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52391887"/>
        <c:crosses val="autoZero"/>
        <c:auto val="1"/>
        <c:lblAlgn val="ctr"/>
        <c:lblOffset val="100"/>
        <c:noMultiLvlLbl val="0"/>
      </c:catAx>
      <c:valAx>
        <c:axId val="11523918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52390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442911</xdr:colOff>
      <xdr:row>10</xdr:row>
      <xdr:rowOff>28575</xdr:rowOff>
    </xdr:from>
    <xdr:to>
      <xdr:col>20</xdr:col>
      <xdr:colOff>104774</xdr:colOff>
      <xdr:row>29</xdr:row>
      <xdr:rowOff>200025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66E05A6-1466-0C72-4C7A-FC0C5A4346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topLeftCell="E4" zoomScale="123" workbookViewId="0">
      <selection activeCell="C32" sqref="C32"/>
    </sheetView>
  </sheetViews>
  <sheetFormatPr defaultRowHeight="16.5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71.600480793230417</v>
      </c>
      <c r="C2">
        <v>-1.3261097776219231</v>
      </c>
    </row>
    <row r="3" spans="1:3" x14ac:dyDescent="0.3">
      <c r="A3" t="s">
        <v>4</v>
      </c>
      <c r="B3">
        <v>17.817584975992759</v>
      </c>
      <c r="C3">
        <v>-15.577232987962701</v>
      </c>
    </row>
    <row r="4" spans="1:3" x14ac:dyDescent="0.3">
      <c r="A4" t="s">
        <v>5</v>
      </c>
      <c r="B4">
        <v>5.0756750436157736</v>
      </c>
      <c r="C4">
        <v>-14.82211328493838</v>
      </c>
    </row>
    <row r="5" spans="1:3" x14ac:dyDescent="0.3">
      <c r="A5" t="s">
        <v>6</v>
      </c>
      <c r="B5">
        <v>26.974684957775931</v>
      </c>
      <c r="C5">
        <v>-15.410145561976719</v>
      </c>
    </row>
    <row r="6" spans="1:3" x14ac:dyDescent="0.3">
      <c r="A6" t="s">
        <v>7</v>
      </c>
      <c r="B6">
        <v>6.3786254346568967</v>
      </c>
      <c r="C6">
        <v>-17.545045211469532</v>
      </c>
    </row>
    <row r="7" spans="1:3" x14ac:dyDescent="0.3">
      <c r="A7" t="s">
        <v>8</v>
      </c>
      <c r="B7">
        <v>253.05864543599819</v>
      </c>
      <c r="C7">
        <f>1132.68925153946/2</f>
        <v>566.34462576972999</v>
      </c>
    </row>
    <row r="8" spans="1:3" x14ac:dyDescent="0.3">
      <c r="A8" t="s">
        <v>9</v>
      </c>
      <c r="B8">
        <v>256.8231545607714</v>
      </c>
      <c r="C8">
        <f>1452.68718665424/2</f>
        <v>726.34359332711995</v>
      </c>
    </row>
    <row r="9" spans="1:3" x14ac:dyDescent="0.3">
      <c r="A9" t="s">
        <v>10</v>
      </c>
      <c r="B9">
        <v>379.67439406315219</v>
      </c>
      <c r="C9">
        <f>1602.73667272882/2-400</f>
        <v>401.36833636440997</v>
      </c>
    </row>
    <row r="10" spans="1:3" x14ac:dyDescent="0.3">
      <c r="A10" t="s">
        <v>11</v>
      </c>
      <c r="B10">
        <v>228.544079657021</v>
      </c>
      <c r="C10">
        <v>34.44492667482541</v>
      </c>
    </row>
    <row r="11" spans="1:3" x14ac:dyDescent="0.3">
      <c r="A11" t="s">
        <v>12</v>
      </c>
      <c r="B11">
        <v>106.2856083758661</v>
      </c>
      <c r="C11">
        <v>-3.8546262534275679</v>
      </c>
    </row>
    <row r="12" spans="1:3" x14ac:dyDescent="0.3">
      <c r="A12" t="s">
        <v>13</v>
      </c>
      <c r="B12">
        <v>140.6819312533498</v>
      </c>
      <c r="C12">
        <v>9.3593316688264849</v>
      </c>
    </row>
    <row r="13" spans="1:3" x14ac:dyDescent="0.3">
      <c r="A13" t="s">
        <v>14</v>
      </c>
      <c r="B13">
        <v>168.64305112508461</v>
      </c>
      <c r="C13">
        <v>18.731195301401609</v>
      </c>
    </row>
    <row r="14" spans="1:3" x14ac:dyDescent="0.3">
      <c r="A14" t="s">
        <v>15</v>
      </c>
      <c r="B14">
        <v>77.746865853401687</v>
      </c>
      <c r="C14">
        <v>-8.8650440767293048</v>
      </c>
    </row>
    <row r="15" spans="1:3" x14ac:dyDescent="0.3">
      <c r="A15" t="s">
        <v>16</v>
      </c>
      <c r="B15">
        <v>-96</v>
      </c>
      <c r="C15">
        <v>-4.7356506650876327</v>
      </c>
    </row>
    <row r="16" spans="1:3" x14ac:dyDescent="0.3">
      <c r="A16" t="s">
        <v>17</v>
      </c>
      <c r="B16">
        <v>-44</v>
      </c>
      <c r="C16">
        <v>-13.68986814540483</v>
      </c>
    </row>
    <row r="17" spans="1:3" x14ac:dyDescent="0.3">
      <c r="A17" t="s">
        <v>18</v>
      </c>
      <c r="B17">
        <v>74.390106247669792</v>
      </c>
      <c r="C17">
        <v>-11.20866719611797</v>
      </c>
    </row>
    <row r="18" spans="1:3" x14ac:dyDescent="0.3">
      <c r="A18" t="s">
        <v>19</v>
      </c>
      <c r="B18">
        <v>177.070893227944</v>
      </c>
      <c r="C18">
        <v>11.59625659640483</v>
      </c>
    </row>
    <row r="19" spans="1:3" x14ac:dyDescent="0.3">
      <c r="A19" t="s">
        <v>20</v>
      </c>
      <c r="B19">
        <v>197.79353280448319</v>
      </c>
      <c r="C19">
        <v>19.88963905021717</v>
      </c>
    </row>
    <row r="20" spans="1:3" x14ac:dyDescent="0.3">
      <c r="A20" t="s">
        <v>21</v>
      </c>
      <c r="B20">
        <v>155.23371012618369</v>
      </c>
      <c r="C20">
        <v>5.9914756942299618</v>
      </c>
    </row>
    <row r="21" spans="1:3" x14ac:dyDescent="0.3">
      <c r="A21" t="s">
        <v>22</v>
      </c>
      <c r="B21">
        <v>107.5126090960821</v>
      </c>
      <c r="C21">
        <v>-5.8144115977479487</v>
      </c>
    </row>
    <row r="22" spans="1:3" x14ac:dyDescent="0.3">
      <c r="A22" t="s">
        <v>23</v>
      </c>
      <c r="B22">
        <v>-41.712621503966147</v>
      </c>
      <c r="C22">
        <v>-1.887177654590005</v>
      </c>
    </row>
    <row r="23" spans="1:3" x14ac:dyDescent="0.3">
      <c r="A23" t="s">
        <v>24</v>
      </c>
      <c r="B23">
        <v>-63.875342876624018</v>
      </c>
      <c r="C23">
        <v>5.3634220670264767</v>
      </c>
    </row>
    <row r="24" spans="1:3" x14ac:dyDescent="0.3">
      <c r="A24" t="s">
        <v>25</v>
      </c>
      <c r="B24">
        <v>-8.0734725760339643</v>
      </c>
      <c r="C24">
        <v>-18.669243032871119</v>
      </c>
    </row>
    <row r="25" spans="1:3" x14ac:dyDescent="0.3">
      <c r="A25" t="s">
        <v>26</v>
      </c>
      <c r="B25">
        <v>54.339895255303418</v>
      </c>
      <c r="C25">
        <v>41.113762712514593</v>
      </c>
    </row>
    <row r="26" spans="1:3" x14ac:dyDescent="0.3">
      <c r="A26" t="s">
        <v>27</v>
      </c>
      <c r="B26">
        <v>25.366254205533551</v>
      </c>
      <c r="C26">
        <v>-12.800870268605079</v>
      </c>
    </row>
    <row r="27" spans="1:3" x14ac:dyDescent="0.3">
      <c r="A27" t="s">
        <v>28</v>
      </c>
      <c r="B27">
        <v>-3.1378262188791268</v>
      </c>
      <c r="C27">
        <v>-25.703313302526681</v>
      </c>
    </row>
    <row r="28" spans="1:3" x14ac:dyDescent="0.3">
      <c r="A28" t="s">
        <v>29</v>
      </c>
      <c r="B28">
        <v>-83.252758954400633</v>
      </c>
      <c r="C28">
        <v>-33.933931246162842</v>
      </c>
    </row>
    <row r="29" spans="1:3" x14ac:dyDescent="0.3">
      <c r="A29" t="s">
        <v>30</v>
      </c>
      <c r="B29">
        <v>-189.2842991467769</v>
      </c>
      <c r="C29">
        <v>-26.00022463218977</v>
      </c>
    </row>
    <row r="30" spans="1:3" x14ac:dyDescent="0.3">
      <c r="A30" t="s">
        <v>31</v>
      </c>
      <c r="B30">
        <f>3124.87436654851/2-200</f>
        <v>1362.4371832742549</v>
      </c>
      <c r="C30">
        <f>3136.04723370404/2-200</f>
        <v>1368.02361685202</v>
      </c>
    </row>
    <row r="31" spans="1:3" x14ac:dyDescent="0.3">
      <c r="A31" t="s">
        <v>32</v>
      </c>
      <c r="B31">
        <f>2514.59187077275/2-200</f>
        <v>1057.295935386375</v>
      </c>
      <c r="C31">
        <f>886.381822533883</f>
        <v>886.381822533883</v>
      </c>
    </row>
    <row r="32" spans="1:3" x14ac:dyDescent="0.3">
      <c r="A32" t="s">
        <v>33</v>
      </c>
      <c r="B32">
        <f>1960.74683605285/2</f>
        <v>980.37341802642504</v>
      </c>
      <c r="C32">
        <f>393.955124567977</f>
        <v>393.95512456797701</v>
      </c>
    </row>
    <row r="33" spans="1:3" x14ac:dyDescent="0.3">
      <c r="A33" t="s">
        <v>34</v>
      </c>
      <c r="B33">
        <v>564.8087768694013</v>
      </c>
      <c r="C33">
        <v>33.03022017169144</v>
      </c>
    </row>
    <row r="34" spans="1:3" x14ac:dyDescent="0.3">
      <c r="A34" t="s">
        <v>35</v>
      </c>
      <c r="B34">
        <v>325.70716178726622</v>
      </c>
      <c r="C34">
        <v>64.276682052793717</v>
      </c>
    </row>
    <row r="35" spans="1:3" x14ac:dyDescent="0.3">
      <c r="A35" t="s">
        <v>36</v>
      </c>
      <c r="B35">
        <v>119.0122444677818</v>
      </c>
      <c r="C35">
        <v>4.0042908018093613</v>
      </c>
    </row>
    <row r="36" spans="1:3" x14ac:dyDescent="0.3">
      <c r="A36" t="s">
        <v>37</v>
      </c>
      <c r="B36">
        <v>88.659173426676716</v>
      </c>
      <c r="C36">
        <v>-11.272494624499929</v>
      </c>
    </row>
    <row r="37" spans="1:3" x14ac:dyDescent="0.3">
      <c r="A37" t="s">
        <v>38</v>
      </c>
      <c r="B37">
        <v>41.11727262680688</v>
      </c>
      <c r="C37">
        <v>22.229099999999999</v>
      </c>
    </row>
    <row r="38" spans="1:3" x14ac:dyDescent="0.3">
      <c r="A38" t="s">
        <v>39</v>
      </c>
      <c r="B38">
        <v>-18.24234840885401</v>
      </c>
      <c r="C38">
        <v>-8.7614718654120995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"/>
  <sheetViews>
    <sheetView workbookViewId="0"/>
  </sheetViews>
  <sheetFormatPr defaultRowHeight="16.5" x14ac:dyDescent="0.3"/>
  <sheetData>
    <row r="1" spans="1:9" x14ac:dyDescent="0.3"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</row>
    <row r="2" spans="1:9" x14ac:dyDescent="0.3">
      <c r="A2" s="1" t="s">
        <v>1</v>
      </c>
      <c r="B2">
        <v>37</v>
      </c>
      <c r="C2">
        <v>297.42917379068138</v>
      </c>
      <c r="D2">
        <v>700.83375141995111</v>
      </c>
      <c r="E2">
        <v>-189.2842991467769</v>
      </c>
      <c r="F2">
        <v>17.817584975992759</v>
      </c>
      <c r="G2">
        <v>88.659173426676716</v>
      </c>
      <c r="H2">
        <v>197.79353280448319</v>
      </c>
      <c r="I2">
        <v>3124.8743665485108</v>
      </c>
    </row>
    <row r="3" spans="1:9" x14ac:dyDescent="0.3">
      <c r="A3" s="1" t="s">
        <v>2</v>
      </c>
      <c r="B3">
        <v>37</v>
      </c>
      <c r="C3">
        <v>231.30247944338251</v>
      </c>
      <c r="D3">
        <v>640.59992964466016</v>
      </c>
      <c r="E3">
        <v>-33.933931246162842</v>
      </c>
      <c r="F3">
        <v>-14.82211328493838</v>
      </c>
      <c r="G3">
        <v>-1.887177654590005</v>
      </c>
      <c r="H3">
        <v>33.03022017169144</v>
      </c>
      <c r="I3">
        <v>3136.0472337040392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PnL Records</vt:lpstr>
      <vt:lpstr>Summary 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태호 김</cp:lastModifiedBy>
  <dcterms:created xsi:type="dcterms:W3CDTF">2025-06-09T16:40:49Z</dcterms:created>
  <dcterms:modified xsi:type="dcterms:W3CDTF">2025-06-09T16:52:53Z</dcterms:modified>
</cp:coreProperties>
</file>